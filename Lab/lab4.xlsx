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iirevninj\javascript\lab5_template_project\lab2_template_project\"/>
    </mc:Choice>
  </mc:AlternateContent>
  <xr:revisionPtr revIDLastSave="0" documentId="13_ncr:1_{F6AB7778-59B8-478B-9D47-CE1F572A57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Танилцуулга" sheetId="1" r:id="rId1"/>
    <sheet name="Карт ба хугацаа" sheetId="2" r:id="rId2"/>
    <sheet name="Kanban Board" sheetId="3" r:id="rId3"/>
    <sheet name="CFD өгөгдөл" sheetId="4" r:id="rId4"/>
    <sheet name="Дүгнэлт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G14" i="4" s="1"/>
  <c r="G13" i="4"/>
  <c r="F13" i="4"/>
  <c r="F12" i="4"/>
  <c r="G12" i="4" s="1"/>
  <c r="F11" i="4"/>
  <c r="G11" i="4" s="1"/>
  <c r="G10" i="4"/>
  <c r="F10" i="4"/>
  <c r="F9" i="4"/>
  <c r="G9" i="4" s="1"/>
  <c r="F8" i="4"/>
  <c r="G8" i="4" s="1"/>
  <c r="G7" i="4"/>
  <c r="F7" i="4"/>
  <c r="G6" i="4"/>
  <c r="F6" i="4"/>
  <c r="F5" i="4"/>
  <c r="G5" i="4" s="1"/>
  <c r="G14" i="3"/>
  <c r="F14" i="3"/>
  <c r="H14" i="3" s="1"/>
  <c r="G13" i="3"/>
  <c r="F13" i="3"/>
  <c r="H13" i="3" s="1"/>
  <c r="G12" i="3"/>
  <c r="H12" i="3" s="1"/>
  <c r="F12" i="3"/>
  <c r="G11" i="3"/>
  <c r="F11" i="3"/>
  <c r="H11" i="3" s="1"/>
  <c r="G10" i="3"/>
  <c r="F10" i="3"/>
  <c r="H10" i="3" s="1"/>
  <c r="G9" i="3"/>
  <c r="H9" i="3" s="1"/>
  <c r="F9" i="3"/>
  <c r="G8" i="3"/>
  <c r="H8" i="3" s="1"/>
  <c r="F8" i="3"/>
  <c r="G7" i="3"/>
  <c r="H7" i="3" s="1"/>
  <c r="F7" i="3"/>
  <c r="G6" i="3"/>
  <c r="F6" i="3"/>
  <c r="H6" i="3" s="1"/>
  <c r="H5" i="3"/>
  <c r="G5" i="3"/>
  <c r="F5" i="3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J15" i="2" s="1"/>
  <c r="B15" i="5" s="1"/>
  <c r="I5" i="2"/>
  <c r="I15" i="2" s="1"/>
  <c r="B14" i="5" s="1"/>
  <c r="B16" i="2" l="1"/>
  <c r="B16" i="5" s="1"/>
  <c r="I16" i="2"/>
  <c r="B17" i="5" s="1"/>
</calcChain>
</file>

<file path=xl/sharedStrings.xml><?xml version="1.0" encoding="utf-8"?>
<sst xmlns="http://schemas.openxmlformats.org/spreadsheetml/2006/main" count="165" uniqueCount="129">
  <si>
    <t>ЛАБОРАТОРИ 4 · KANBAN СИМУЛЯЦ</t>
  </si>
  <si>
    <t>Naad онлайн дуудлага худалдаа | Лаб 3-ын Sprint 1 | 2026.10.02–10.15 | 10 ажлын өдөр</t>
  </si>
  <si>
    <t>Үзүүлэлт</t>
  </si>
  <si>
    <t>Утга</t>
  </si>
  <si>
    <t>Тайлбар</t>
  </si>
  <si>
    <t>Төслийн нэр</t>
  </si>
  <si>
    <t>Naad онлайн дуудлага худалдаа</t>
  </si>
  <si>
    <t>Лаб 3-ын Sprint Backlog-оос шууд авсан.</t>
  </si>
  <si>
    <t>Баг</t>
  </si>
  <si>
    <t>Turbold, Amarmend, Shiirevninj, Munkhgerelt</t>
  </si>
  <si>
    <t>4 гишүүн</t>
  </si>
  <si>
    <t>Sprint Goal</t>
  </si>
  <si>
    <t>Бүртгэл → нэвтрэлт → худалдаа харах → санал илгээх</t>
  </si>
  <si>
    <t>Лаб 3-ын зорилгын товч утга</t>
  </si>
  <si>
    <t>Sprint Capacity</t>
  </si>
  <si>
    <t>48 SP</t>
  </si>
  <si>
    <t>Лаб 3-ын Capacity хуудас</t>
  </si>
  <si>
    <t>Сонгосон Story</t>
  </si>
  <si>
    <t>7 story / 47 SP</t>
  </si>
  <si>
    <t>US-01, US-02, US-15, US-03, US-04, US-07, US-08</t>
  </si>
  <si>
    <t>Kanban карт</t>
  </si>
  <si>
    <t>9 карт</t>
  </si>
  <si>
    <t>7 story + 2 story доторх техникийн task; шинэ story нэмээгүй</t>
  </si>
  <si>
    <t>In Progress WIP</t>
  </si>
  <si>
    <t>3</t>
  </si>
  <si>
    <t>Нэг өдөрт 3-аас ихгүй</t>
  </si>
  <si>
    <t>Review WIP</t>
  </si>
  <si>
    <t>2</t>
  </si>
  <si>
    <t>Нэг өдөрт 2-оос ихгүй</t>
  </si>
  <si>
    <t>Хугацаа</t>
  </si>
  <si>
    <t>2026.10.02–2026.10.15</t>
  </si>
  <si>
    <t>Амралтын өдрүүдийг алгассан 10 ажлын өдөр</t>
  </si>
  <si>
    <t>Өгөгдлийн төрөл</t>
  </si>
  <si>
    <t>СИМУЛЯЦ</t>
  </si>
  <si>
    <t>Бодитоор програм хөгжүүлсэн гэсэн нотолгоо биш</t>
  </si>
  <si>
    <t>Тооцоолол</t>
  </si>
  <si>
    <t>Ажлын өдрөөр</t>
  </si>
  <si>
    <t>Cycle: In Progress→Done; Lead: To Do→Done; эхэлсэн өдрийг оруулахгүй</t>
  </si>
  <si>
    <t>KANBAN · КАРТЫН ШИЛЖИЛТ БА ХУГАЦАА</t>
  </si>
  <si>
    <t>Огноо нь 10 ажлын өдрийн симуляц. Cycle/Lead Time-ийг ажлын өдрөөр тооцно.</t>
  </si>
  <si>
    <t>Карт</t>
  </si>
  <si>
    <t>User Story / Техникийн task</t>
  </si>
  <si>
    <t>Төрөл</t>
  </si>
  <si>
    <t>SP</t>
  </si>
  <si>
    <t>To Do</t>
  </si>
  <si>
    <t>In Progress</t>
  </si>
  <si>
    <t>Review</t>
  </si>
  <si>
    <t>Done</t>
  </si>
  <si>
    <t>Cycle (аж.өдөр)</t>
  </si>
  <si>
    <t>Lead (аж.өдөр)</t>
  </si>
  <si>
    <t>Шалгалт</t>
  </si>
  <si>
    <t>US-01</t>
  </si>
  <si>
    <t>Шинэ хэрэглэгчийн хувьд би утас эсвэл цахим шуудангаа баталгаажуулан бүртгүүлэхийг хүсэж байна. Ингэснээр дуудлага худалдаанд өөрийн бүртгэлээр оролцох боломжтой болно.</t>
  </si>
  <si>
    <t>Story</t>
  </si>
  <si>
    <t>US-02</t>
  </si>
  <si>
    <t>Бүртгэлтэй хэрэглэгчийн хувьд би өөрийн бүртгэлд нэвтрэхийг хүсэж байна. Ингэснээр зөвшөөрөгдсөн үйлдлүүдээ аюулгүй гүйцэтгэх боломжтой болно.</t>
  </si>
  <si>
    <t>US-15</t>
  </si>
  <si>
    <t>Дуудлага худалдаа зохион байгуулагчийн хувьд би барааны мэдээлэл, төрөл, хугацааг тохируулан худалдаа зарлахыг хүсэж байна. Ингэснээр оролцогчдод бараагаа санал болгох боломжтой болно.</t>
  </si>
  <si>
    <t>US-03</t>
  </si>
  <si>
    <t>Оролцогчийн хувьд би идэвхтэй дуудлага худалдааг ангиллаар шүүн харахыг хүсэж байна. Ингэснээр сонирхсон барааныхаа худалдааг хурдан олох боломжтой болно.</t>
  </si>
  <si>
    <t>US-04</t>
  </si>
  <si>
    <t>Оролцогчийн хувьд би сонгосон барааны мэдээлэл болон шинэчлэгдэж буй үнийг харахыг хүсэж байна. Ингэснээр санал илгээх эсэхээ бодит мэдээлэлд үндэслэн шийдэх боломжтой болно.</t>
  </si>
  <si>
    <t>US-07</t>
  </si>
  <si>
    <t>Оролцох эрхтэй хэрэглэгчийн хувьд би идэвхтэй дуудлага худалдаанд үнийн санал илгээхийг хүсэж байна. Ингэснээр барааг авахын төлөө өрсөлдөх боломжтой болно.</t>
  </si>
  <si>
    <t>US-08</t>
  </si>
  <si>
    <t>Санал илгээсэн оролцогчийн хувьд би саналынхаа боловсруулалтын төлөв болон эцсийн хариуг харахыг хүсэж байна. Ингэснээр санал бүртгэгдсэн эсэхэд эргэлзэхгүй байх боломжтой болно.</t>
  </si>
  <si>
    <t>T-01</t>
  </si>
  <si>
    <t>US-01: Баталгаажуулах кодын шалгалтын тест</t>
  </si>
  <si>
    <t>Task / US-01</t>
  </si>
  <si>
    <t>T-07</t>
  </si>
  <si>
    <t>US-07: Санал илгээх алдааны нөхцөлийн тест</t>
  </si>
  <si>
    <t>Task / US-07</t>
  </si>
  <si>
    <t>Дундаж</t>
  </si>
  <si>
    <t>Хамгийн удаан карт</t>
  </si>
  <si>
    <t>SP=0 техникийн task-ууд нь US-01/US-07 story-д багтсан, 47 SP дээр дахин нэмэгдэхгүй.</t>
  </si>
  <si>
    <t>KANBAN BOARD · ӨДӨР ТУТМЫН ТӨЛӨВ</t>
  </si>
  <si>
    <t>10 өдрийн симуляц; хүснэгтийн мөр бүр тухайн өдрийн ажлын төгсгөлийн төлөвийг харуулна.</t>
  </si>
  <si>
    <t>Огноо</t>
  </si>
  <si>
    <t>In Progress (≤3)</t>
  </si>
  <si>
    <t>Review (≤2)</t>
  </si>
  <si>
    <t>IP тоо</t>
  </si>
  <si>
    <t>Review тоо</t>
  </si>
  <si>
    <t>WIP шалгалт</t>
  </si>
  <si>
    <t>US-15, US-03, US-04, US-07, US-08, T-01, T-07</t>
  </si>
  <si>
    <t>US-01, US-02</t>
  </si>
  <si>
    <t>—</t>
  </si>
  <si>
    <t>US-03, US-04, US-07, US-08, T-07</t>
  </si>
  <si>
    <t>US-15, T-01</t>
  </si>
  <si>
    <t>US-04, US-07, US-08, T-07</t>
  </si>
  <si>
    <t>US-15, US-03</t>
  </si>
  <si>
    <t>US-02, T-01</t>
  </si>
  <si>
    <t>US-07, US-08, T-07</t>
  </si>
  <si>
    <t>US-03, US-04</t>
  </si>
  <si>
    <t>US-01, US-02, T-01</t>
  </si>
  <si>
    <t>US-08, T-07</t>
  </si>
  <si>
    <t>US-04, US-07</t>
  </si>
  <si>
    <t>US-01, US-02, US-15, T-01</t>
  </si>
  <si>
    <t>US-07, T-07</t>
  </si>
  <si>
    <t>US-01, US-02, US-15, US-03, T-01</t>
  </si>
  <si>
    <t>US-07, US-08</t>
  </si>
  <si>
    <t>US-01, US-02, US-15, US-03, US-04, T-01</t>
  </si>
  <si>
    <t>US-01, US-02, US-15, US-03, US-04, T-01, T-07</t>
  </si>
  <si>
    <t>US-01, US-02, US-15, US-03, US-04, US-07, US-08, T-01, T-07</t>
  </si>
  <si>
    <t>Анхны төлөв: 10/02-ны эхэнд 9 карт бүгд To Do. Хүснэгтэд өдрийн эцсийн төлөвийг үзүүлэв.</t>
  </si>
  <si>
    <t>CUMULATIVE FLOW DIAGRAM · ӨДӨР ТУТМЫН ТОО</t>
  </si>
  <si>
    <t>Нийт 9 карт тогтмол; өдөр бүр 4 төлөвийн нийлбэр 9 байх ёстой.</t>
  </si>
  <si>
    <t>Нийт карт</t>
  </si>
  <si>
    <t>ЛАБ 4 · CYCLE TIME ДҮН ШИНЖИЛГЭЭ</t>
  </si>
  <si>
    <t>Лаб 3-ын 47 SP, 7 story дээр тулгуурласан 9 картын симуляц.</t>
  </si>
  <si>
    <t>Хэсэг</t>
  </si>
  <si>
    <t>Дүгнэлт</t>
  </si>
  <si>
    <t>Аргачлал</t>
  </si>
  <si>
    <t>2026.10.02–10.15-ны 10 ажлын өдрийг симуляцалж, 7 Sprint Story болон тэдгээрийн 2 техникийн task-ийг 4 төлөвөөр шилжүүлсэн.</t>
  </si>
  <si>
    <t>Хугацааны хэмжүүр</t>
  </si>
  <si>
    <t>Cycle Time = In Progress-оос Done хүртэлх ажлын өдрийн зөрүү; Lead Time = To Do-оос Done хүртэлх ажлын өдрийн зөрүү.</t>
  </si>
  <si>
    <t>Дундаж Cycle Time</t>
  </si>
  <si>
    <t>Доорх холбоос томьёо нь Карт ба хугацаа хуудаснаас автоматаар тооцно.</t>
  </si>
  <si>
    <t>Хамгийн удаан ажил</t>
  </si>
  <si>
    <t>Bottleneck</t>
  </si>
  <si>
    <t>US-07-ийн Review-д хүлээх болон алдааны нөхцөл шалгах хугацаа нь нийт Cycle Time-ийг уртасгасан байж болохыг загварчилсан. Бодит хэмжилт биш.</t>
  </si>
  <si>
    <t>WIP-ийн нөлөө</t>
  </si>
  <si>
    <t>WIP хязгаарлалтгүй бол олон ажил зэрэг эхлэх ч Review-д бөөгнөрч, дуусах хугацаа уртсах эрсдэлтэй. 3/2 хязгаарлалт нь ажлыг дуусгахад төвлөрөх боломж олгов.</t>
  </si>
  <si>
    <t>CFD тайлбар</t>
  </si>
  <si>
    <t>Өдөр бүр To Do, In Progress, Review, Done төлөвийн картын тоог тооцож, stacked area графикаар урсгалын өөрчлөлтийг харуулав.</t>
  </si>
  <si>
    <t>Анхааруулга</t>
  </si>
  <si>
    <t>Эдгээр огноо, үр дүн нь сургалтын зорилготой симуляц бөгөөд бодит гүйцэтгэлийн тайлан биш.</t>
  </si>
  <si>
    <t>Дундаж Lead Time</t>
  </si>
  <si>
    <t>Хамгийн урт Cycle Time</t>
  </si>
  <si>
    <t>US-07: санал илгээх функц. Олон нөхцөл, баталгаажуулалт болон шалгалттай тул бусдаас удаан үргэлжилсэн гэж симуляцласан.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</si>
</sst>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/dd"/>
  </numFmts>
  <fonts count="5">
    <font>
      <sz val="11"/>
      <name val="Carlito"/>
    </font>
    <font>
      <b/>
      <sz val="16"/>
      <color rgb="FFFFFFFF"/>
      <name val="Carlito"/>
    </font>
    <font>
      <sz val="11"/>
      <color rgb="FF172B4D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EAF3FA"/>
      </patternFill>
    </fill>
    <fill>
      <patternFill patternType="solid">
        <fgColor rgb="FF176B9A"/>
      </patternFill>
    </fill>
    <fill>
      <patternFill patternType="solid">
        <fgColor rgb="FFF2F5F9"/>
      </patternFill>
    </fill>
    <fill>
      <patternFill patternType="solid">
        <fgColor rgb="FFDD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0" fontId="0" fillId="6" borderId="0" xfId="0" applyNumberFormat="1" applyFont="1" applyFill="1" applyBorder="1"/>
    <xf numFmtId="0" fontId="4" fillId="0" borderId="0" xfId="0" applyNumberFormat="1" applyFont="1" applyFill="1" applyBorder="1"/>
    <xf numFmtId="164" fontId="4" fillId="0" borderId="0" xfId="0" applyNumberFormat="1" applyFont="1" applyFill="1" applyBorder="1"/>
    <xf numFmtId="165" fontId="4" fillId="0" borderId="0" xfId="0" applyNumberFormat="1" applyFont="1" applyFill="1" applyBorder="1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CFD — 10 </a:t>
            </a:r>
            <a:r>
              <a:rPr lang="mn-MN"/>
              <a:t>ажлын өдрийн </a:t>
            </a:r>
            <a:r>
              <a:rPr lang="en-US"/>
              <a:t>Kanban </a:t>
            </a:r>
            <a:r>
              <a:rPr lang="mn-MN"/>
              <a:t>урсгал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To Do</c:v>
          </c:tx>
          <c:cat>
            <c:numRef>
              <c:f>'CFD өгөгдөл'!$A$5:$A$14</c:f>
              <c:numCache>
                <c:formatCode>mm/dd</c:formatCode>
                <c:ptCount val="10"/>
                <c:pt idx="0">
                  <c:v>46297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46307</c:v>
                </c:pt>
                <c:pt idx="7">
                  <c:v>46308</c:v>
                </c:pt>
                <c:pt idx="8">
                  <c:v>46309</c:v>
                </c:pt>
                <c:pt idx="9">
                  <c:v>46310</c:v>
                </c:pt>
              </c:numCache>
            </c:numRef>
          </c:cat>
          <c:val>
            <c:numRef>
              <c:f>'CFD өгөгдөл'!$B$5:$B$14</c:f>
              <c:numCache>
                <c:formatCode>General</c:formatCode>
                <c:ptCount val="10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6-4A36-B18E-266A01172A14}"/>
            </c:ext>
          </c:extLst>
        </c:ser>
        <c:ser>
          <c:idx val="1"/>
          <c:order val="1"/>
          <c:tx>
            <c:v>In Progress</c:v>
          </c:tx>
          <c:cat>
            <c:numRef>
              <c:f>'CFD өгөгдөл'!$A$5:$A$14</c:f>
              <c:numCache>
                <c:formatCode>mm/dd</c:formatCode>
                <c:ptCount val="10"/>
                <c:pt idx="0">
                  <c:v>46297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46307</c:v>
                </c:pt>
                <c:pt idx="7">
                  <c:v>46308</c:v>
                </c:pt>
                <c:pt idx="8">
                  <c:v>46309</c:v>
                </c:pt>
                <c:pt idx="9">
                  <c:v>46310</c:v>
                </c:pt>
              </c:numCache>
            </c:numRef>
          </c:cat>
          <c:val>
            <c:numRef>
              <c:f>'CFD өгөгдөл'!$C$5:$C$14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6-4A36-B18E-266A01172A14}"/>
            </c:ext>
          </c:extLst>
        </c:ser>
        <c:ser>
          <c:idx val="2"/>
          <c:order val="2"/>
          <c:tx>
            <c:v>Review</c:v>
          </c:tx>
          <c:cat>
            <c:numRef>
              <c:f>'CFD өгөгдөл'!$A$5:$A$14</c:f>
              <c:numCache>
                <c:formatCode>mm/dd</c:formatCode>
                <c:ptCount val="10"/>
                <c:pt idx="0">
                  <c:v>46297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46307</c:v>
                </c:pt>
                <c:pt idx="7">
                  <c:v>46308</c:v>
                </c:pt>
                <c:pt idx="8">
                  <c:v>46309</c:v>
                </c:pt>
                <c:pt idx="9">
                  <c:v>46310</c:v>
                </c:pt>
              </c:numCache>
            </c:numRef>
          </c:cat>
          <c:val>
            <c:numRef>
              <c:f>'CFD өгөгдөл'!$D$5:$D$14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6-4A36-B18E-266A01172A14}"/>
            </c:ext>
          </c:extLst>
        </c:ser>
        <c:ser>
          <c:idx val="3"/>
          <c:order val="3"/>
          <c:tx>
            <c:v>Done</c:v>
          </c:tx>
          <c:cat>
            <c:numRef>
              <c:f>'CFD өгөгдөл'!$A$5:$A$14</c:f>
              <c:numCache>
                <c:formatCode>mm/dd</c:formatCode>
                <c:ptCount val="10"/>
                <c:pt idx="0">
                  <c:v>46297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46307</c:v>
                </c:pt>
                <c:pt idx="7">
                  <c:v>46308</c:v>
                </c:pt>
                <c:pt idx="8">
                  <c:v>46309</c:v>
                </c:pt>
                <c:pt idx="9">
                  <c:v>46310</c:v>
                </c:pt>
              </c:numCache>
            </c:numRef>
          </c:cat>
          <c:val>
            <c:numRef>
              <c:f>'CFD өгөгдөл'!$E$5:$E$14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B6-4A36-B18E-266A01172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/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ySplit="4" topLeftCell="A5" activePane="bottomLeft" state="frozen"/>
      <selection pane="bottomLeft" sqref="A1:C1"/>
    </sheetView>
  </sheetViews>
  <sheetFormatPr defaultRowHeight="14"/>
  <cols>
    <col min="1" max="1" width="29" customWidth="1"/>
    <col min="2" max="2" width="51.75" customWidth="1"/>
    <col min="3" max="3" width="82" customWidth="1"/>
  </cols>
  <sheetData>
    <row r="1" spans="1:3" ht="35" customHeight="1">
      <c r="A1" s="9" t="s">
        <v>0</v>
      </c>
      <c r="B1" s="9"/>
      <c r="C1" s="9"/>
    </row>
    <row r="2" spans="1:3" ht="30" customHeight="1">
      <c r="A2" s="10" t="s">
        <v>1</v>
      </c>
      <c r="B2" s="10"/>
      <c r="C2" s="10"/>
    </row>
    <row r="4" spans="1:3" ht="32" customHeight="1">
      <c r="A4" s="1" t="s">
        <v>2</v>
      </c>
      <c r="B4" s="1" t="s">
        <v>3</v>
      </c>
      <c r="C4" s="1" t="s">
        <v>4</v>
      </c>
    </row>
    <row r="5" spans="1:3" ht="27" customHeight="1">
      <c r="A5" s="2" t="s">
        <v>5</v>
      </c>
      <c r="B5" t="s">
        <v>6</v>
      </c>
      <c r="C5" s="3" t="s">
        <v>7</v>
      </c>
    </row>
    <row r="6" spans="1:3" ht="27" customHeight="1">
      <c r="A6" s="2" t="s">
        <v>8</v>
      </c>
      <c r="B6" t="s">
        <v>9</v>
      </c>
      <c r="C6" s="3" t="s">
        <v>10</v>
      </c>
    </row>
    <row r="7" spans="1:3" ht="27" customHeight="1">
      <c r="A7" s="2" t="s">
        <v>11</v>
      </c>
      <c r="B7" t="s">
        <v>12</v>
      </c>
      <c r="C7" s="3" t="s">
        <v>13</v>
      </c>
    </row>
    <row r="8" spans="1:3" ht="27" customHeight="1">
      <c r="A8" s="2" t="s">
        <v>14</v>
      </c>
      <c r="B8" t="s">
        <v>15</v>
      </c>
      <c r="C8" s="3" t="s">
        <v>16</v>
      </c>
    </row>
    <row r="9" spans="1:3" ht="27" customHeight="1">
      <c r="A9" s="2" t="s">
        <v>17</v>
      </c>
      <c r="B9" t="s">
        <v>18</v>
      </c>
      <c r="C9" s="3" t="s">
        <v>19</v>
      </c>
    </row>
    <row r="10" spans="1:3" ht="27" customHeight="1">
      <c r="A10" s="2" t="s">
        <v>20</v>
      </c>
      <c r="B10" t="s">
        <v>21</v>
      </c>
      <c r="C10" s="3" t="s">
        <v>22</v>
      </c>
    </row>
    <row r="11" spans="1:3" ht="27" customHeight="1">
      <c r="A11" s="2" t="s">
        <v>23</v>
      </c>
      <c r="B11" t="s">
        <v>24</v>
      </c>
      <c r="C11" s="3" t="s">
        <v>25</v>
      </c>
    </row>
    <row r="12" spans="1:3" ht="27" customHeight="1">
      <c r="A12" s="2" t="s">
        <v>26</v>
      </c>
      <c r="B12" t="s">
        <v>27</v>
      </c>
      <c r="C12" s="3" t="s">
        <v>28</v>
      </c>
    </row>
    <row r="13" spans="1:3" ht="27" customHeight="1">
      <c r="A13" s="2" t="s">
        <v>29</v>
      </c>
      <c r="B13" t="s">
        <v>30</v>
      </c>
      <c r="C13" s="3" t="s">
        <v>31</v>
      </c>
    </row>
    <row r="14" spans="1:3" ht="27" customHeight="1">
      <c r="A14" s="2" t="s">
        <v>32</v>
      </c>
      <c r="B14" t="s">
        <v>33</v>
      </c>
      <c r="C14" s="3" t="s">
        <v>34</v>
      </c>
    </row>
    <row r="15" spans="1:3" ht="27" customHeight="1">
      <c r="A15" s="2" t="s">
        <v>35</v>
      </c>
      <c r="B15" t="s">
        <v>36</v>
      </c>
      <c r="C15" s="3" t="s">
        <v>37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D1" workbookViewId="0">
      <pane ySplit="4" topLeftCell="A8" activePane="bottomLeft" state="frozen"/>
      <selection pane="bottomLeft" activeCell="C6" sqref="C6"/>
    </sheetView>
  </sheetViews>
  <sheetFormatPr defaultRowHeight="14"/>
  <cols>
    <col min="1" max="1" width="13" customWidth="1"/>
    <col min="2" max="2" width="65" customWidth="1"/>
    <col min="3" max="3" width="19" customWidth="1"/>
    <col min="4" max="4" width="10" customWidth="1"/>
    <col min="5" max="8" width="16" customWidth="1"/>
    <col min="9" max="10" width="19" customWidth="1"/>
    <col min="11" max="11" width="23" customWidth="1"/>
  </cols>
  <sheetData>
    <row r="1" spans="1:11" ht="35" customHeight="1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0" customHeight="1">
      <c r="A2" s="10" t="s">
        <v>39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32" customHeight="1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</row>
    <row r="5" spans="1:11" ht="42">
      <c r="A5" s="6" t="s">
        <v>51</v>
      </c>
      <c r="B5" s="12" t="s">
        <v>52</v>
      </c>
      <c r="C5" t="s">
        <v>53</v>
      </c>
      <c r="D5">
        <v>5</v>
      </c>
      <c r="E5" s="4">
        <v>46297</v>
      </c>
      <c r="F5" s="4">
        <v>46297</v>
      </c>
      <c r="G5" s="4">
        <v>46300</v>
      </c>
      <c r="H5" s="4">
        <v>46301</v>
      </c>
      <c r="I5">
        <f t="shared" ref="I5:I13" si="0">NETWORKDAYS(F5,H5)-1</f>
        <v>2</v>
      </c>
      <c r="J5">
        <f t="shared" ref="J5:J13" si="1">NETWORKDAYS(E5,H5)-1</f>
        <v>2</v>
      </c>
      <c r="K5" t="str">
        <f t="shared" ref="K5:K13" si="2">IF(AND(E5&lt;=F5,F5&lt;=G5,G5&lt;=H5),"OK","ШАЛГА")</f>
        <v>OK</v>
      </c>
    </row>
    <row r="6" spans="1:11" ht="42">
      <c r="A6" s="6" t="s">
        <v>54</v>
      </c>
      <c r="B6" s="12" t="s">
        <v>55</v>
      </c>
      <c r="C6" t="s">
        <v>53</v>
      </c>
      <c r="D6">
        <v>3</v>
      </c>
      <c r="E6" s="4">
        <v>46297</v>
      </c>
      <c r="F6" s="4">
        <v>46297</v>
      </c>
      <c r="G6" s="4">
        <v>46300</v>
      </c>
      <c r="H6" s="4">
        <v>46302</v>
      </c>
      <c r="I6">
        <f t="shared" si="0"/>
        <v>3</v>
      </c>
      <c r="J6">
        <f t="shared" si="1"/>
        <v>3</v>
      </c>
      <c r="K6" t="str">
        <f t="shared" si="2"/>
        <v>OK</v>
      </c>
    </row>
    <row r="7" spans="1:11" ht="42">
      <c r="A7" s="6" t="s">
        <v>56</v>
      </c>
      <c r="B7" s="12" t="s">
        <v>57</v>
      </c>
      <c r="C7" t="s">
        <v>53</v>
      </c>
      <c r="D7">
        <v>8</v>
      </c>
      <c r="E7" s="4">
        <v>46297</v>
      </c>
      <c r="F7" s="4">
        <v>46300</v>
      </c>
      <c r="G7" s="4">
        <v>46302</v>
      </c>
      <c r="H7" s="4">
        <v>46303</v>
      </c>
      <c r="I7">
        <f t="shared" si="0"/>
        <v>3</v>
      </c>
      <c r="J7">
        <f t="shared" si="1"/>
        <v>4</v>
      </c>
      <c r="K7" t="str">
        <f t="shared" si="2"/>
        <v>OK</v>
      </c>
    </row>
    <row r="8" spans="1:11" ht="42">
      <c r="A8" s="6" t="s">
        <v>58</v>
      </c>
      <c r="B8" s="12" t="s">
        <v>59</v>
      </c>
      <c r="C8" t="s">
        <v>53</v>
      </c>
      <c r="D8">
        <v>5</v>
      </c>
      <c r="E8" s="4">
        <v>46297</v>
      </c>
      <c r="F8" s="4">
        <v>46301</v>
      </c>
      <c r="G8" s="4">
        <v>46303</v>
      </c>
      <c r="H8" s="4">
        <v>46304</v>
      </c>
      <c r="I8">
        <f t="shared" si="0"/>
        <v>3</v>
      </c>
      <c r="J8">
        <f t="shared" si="1"/>
        <v>5</v>
      </c>
      <c r="K8" t="str">
        <f t="shared" si="2"/>
        <v>OK</v>
      </c>
    </row>
    <row r="9" spans="1:11" ht="42">
      <c r="A9" s="6" t="s">
        <v>60</v>
      </c>
      <c r="B9" s="12" t="s">
        <v>61</v>
      </c>
      <c r="C9" t="s">
        <v>53</v>
      </c>
      <c r="D9">
        <v>8</v>
      </c>
      <c r="E9" s="4">
        <v>46297</v>
      </c>
      <c r="F9" s="4">
        <v>46302</v>
      </c>
      <c r="G9" s="4">
        <v>46304</v>
      </c>
      <c r="H9" s="4">
        <v>46307</v>
      </c>
      <c r="I9">
        <f t="shared" si="0"/>
        <v>3</v>
      </c>
      <c r="J9">
        <f t="shared" si="1"/>
        <v>6</v>
      </c>
      <c r="K9" t="str">
        <f t="shared" si="2"/>
        <v>OK</v>
      </c>
    </row>
    <row r="10" spans="1:11" ht="42">
      <c r="A10" s="6" t="s">
        <v>62</v>
      </c>
      <c r="B10" s="12" t="s">
        <v>63</v>
      </c>
      <c r="C10" t="s">
        <v>53</v>
      </c>
      <c r="D10">
        <v>13</v>
      </c>
      <c r="E10" s="4">
        <v>46297</v>
      </c>
      <c r="F10" s="4">
        <v>46303</v>
      </c>
      <c r="G10" s="4">
        <v>46308</v>
      </c>
      <c r="H10" s="4">
        <v>46310</v>
      </c>
      <c r="I10">
        <f t="shared" si="0"/>
        <v>5</v>
      </c>
      <c r="J10">
        <f t="shared" si="1"/>
        <v>9</v>
      </c>
      <c r="K10" t="str">
        <f t="shared" si="2"/>
        <v>OK</v>
      </c>
    </row>
    <row r="11" spans="1:11" ht="42">
      <c r="A11" s="6" t="s">
        <v>64</v>
      </c>
      <c r="B11" s="12" t="s">
        <v>65</v>
      </c>
      <c r="C11" t="s">
        <v>53</v>
      </c>
      <c r="D11">
        <v>5</v>
      </c>
      <c r="E11" s="4">
        <v>46297</v>
      </c>
      <c r="F11" s="4">
        <v>46307</v>
      </c>
      <c r="G11" s="4">
        <v>46309</v>
      </c>
      <c r="H11" s="4">
        <v>46310</v>
      </c>
      <c r="I11">
        <f t="shared" si="0"/>
        <v>3</v>
      </c>
      <c r="J11">
        <f t="shared" si="1"/>
        <v>9</v>
      </c>
      <c r="K11" t="str">
        <f t="shared" si="2"/>
        <v>OK</v>
      </c>
    </row>
    <row r="12" spans="1:11">
      <c r="A12" s="6" t="s">
        <v>66</v>
      </c>
      <c r="B12" s="12" t="s">
        <v>67</v>
      </c>
      <c r="C12" t="s">
        <v>68</v>
      </c>
      <c r="D12">
        <v>0</v>
      </c>
      <c r="E12" s="4">
        <v>46297</v>
      </c>
      <c r="F12" s="4">
        <v>46300</v>
      </c>
      <c r="G12" s="4">
        <v>46301</v>
      </c>
      <c r="H12" s="4">
        <v>46302</v>
      </c>
      <c r="I12">
        <f t="shared" si="0"/>
        <v>2</v>
      </c>
      <c r="J12">
        <f t="shared" si="1"/>
        <v>3</v>
      </c>
      <c r="K12" t="str">
        <f t="shared" si="2"/>
        <v>OK</v>
      </c>
    </row>
    <row r="13" spans="1:11">
      <c r="A13" s="6" t="s">
        <v>69</v>
      </c>
      <c r="B13" s="12" t="s">
        <v>70</v>
      </c>
      <c r="C13" t="s">
        <v>71</v>
      </c>
      <c r="D13">
        <v>0</v>
      </c>
      <c r="E13" s="4">
        <v>46297</v>
      </c>
      <c r="F13" s="4">
        <v>46304</v>
      </c>
      <c r="G13" s="4">
        <v>46307</v>
      </c>
      <c r="H13" s="4">
        <v>46308</v>
      </c>
      <c r="I13">
        <f t="shared" si="0"/>
        <v>2</v>
      </c>
      <c r="J13">
        <f t="shared" si="1"/>
        <v>7</v>
      </c>
      <c r="K13" t="str">
        <f t="shared" si="2"/>
        <v>OK</v>
      </c>
    </row>
    <row r="14" spans="1:11">
      <c r="A14" s="6"/>
    </row>
    <row r="15" spans="1:11">
      <c r="A15" s="5" t="s">
        <v>72</v>
      </c>
      <c r="B15" s="5"/>
      <c r="C15" s="5"/>
      <c r="D15" s="5"/>
      <c r="E15" s="5"/>
      <c r="F15" s="5"/>
      <c r="G15" s="5"/>
      <c r="H15" s="5"/>
      <c r="I15" s="5">
        <f>AVERAGE(I5:I13)</f>
        <v>2.8888888888888888</v>
      </c>
      <c r="J15" s="5">
        <f>AVERAGE(J5:J13)</f>
        <v>5.333333333333333</v>
      </c>
      <c r="K15" s="5"/>
    </row>
    <row r="16" spans="1:11">
      <c r="A16" s="5" t="s">
        <v>73</v>
      </c>
      <c r="B16" s="5" t="str">
        <f>INDEX(A5:A13,MATCH(MAX(I5:I13),I5:I13,0))</f>
        <v>US-07</v>
      </c>
      <c r="C16" s="5"/>
      <c r="D16" s="5"/>
      <c r="E16" s="5"/>
      <c r="F16" s="5"/>
      <c r="G16" s="5"/>
      <c r="H16" s="5"/>
      <c r="I16" s="5">
        <f>MAX(I5:I13)</f>
        <v>5</v>
      </c>
      <c r="J16" s="5"/>
      <c r="K16" s="5"/>
    </row>
    <row r="18" spans="1:11">
      <c r="A18" s="11" t="s">
        <v>74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</sheetData>
  <mergeCells count="3">
    <mergeCell ref="A1:K1"/>
    <mergeCell ref="A2:K2"/>
    <mergeCell ref="A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pane ySplit="4" topLeftCell="A5" activePane="bottomLeft" state="frozen"/>
      <selection pane="bottomLeft" sqref="A1:H1"/>
    </sheetView>
  </sheetViews>
  <sheetFormatPr defaultRowHeight="14"/>
  <cols>
    <col min="1" max="1" width="19" customWidth="1"/>
    <col min="2" max="2" width="28" customWidth="1"/>
    <col min="3" max="3" width="34" customWidth="1"/>
    <col min="4" max="4" width="30" customWidth="1"/>
    <col min="5" max="5" width="48" customWidth="1"/>
    <col min="6" max="6" width="15" customWidth="1"/>
    <col min="7" max="7" width="17" customWidth="1"/>
    <col min="8" max="8" width="21" customWidth="1"/>
  </cols>
  <sheetData>
    <row r="1" spans="1:8" ht="35" customHeight="1">
      <c r="A1" s="9" t="s">
        <v>75</v>
      </c>
      <c r="B1" s="9"/>
      <c r="C1" s="9"/>
      <c r="D1" s="9"/>
      <c r="E1" s="9"/>
      <c r="F1" s="9"/>
      <c r="G1" s="9"/>
      <c r="H1" s="9"/>
    </row>
    <row r="2" spans="1:8" ht="30" customHeight="1">
      <c r="A2" s="10" t="s">
        <v>76</v>
      </c>
      <c r="B2" s="10"/>
      <c r="C2" s="10"/>
      <c r="D2" s="10"/>
      <c r="E2" s="10"/>
      <c r="F2" s="10"/>
      <c r="G2" s="10"/>
      <c r="H2" s="10"/>
    </row>
    <row r="4" spans="1:8" ht="32" customHeight="1">
      <c r="A4" s="1" t="s">
        <v>77</v>
      </c>
      <c r="B4" s="1" t="s">
        <v>44</v>
      </c>
      <c r="C4" s="1" t="s">
        <v>78</v>
      </c>
      <c r="D4" s="1" t="s">
        <v>79</v>
      </c>
      <c r="E4" s="1" t="s">
        <v>47</v>
      </c>
      <c r="F4" s="1" t="s">
        <v>80</v>
      </c>
      <c r="G4" s="1" t="s">
        <v>81</v>
      </c>
      <c r="H4" s="1" t="s">
        <v>82</v>
      </c>
    </row>
    <row r="5" spans="1:8">
      <c r="A5" s="7">
        <v>46297</v>
      </c>
      <c r="B5" t="s">
        <v>83</v>
      </c>
      <c r="C5" t="s">
        <v>84</v>
      </c>
      <c r="D5" t="s">
        <v>85</v>
      </c>
      <c r="E5" t="s">
        <v>85</v>
      </c>
      <c r="F5">
        <f>'CFD өгөгдөл'!C5</f>
        <v>2</v>
      </c>
      <c r="G5">
        <f>'CFD өгөгдөл'!D5</f>
        <v>0</v>
      </c>
      <c r="H5" t="str">
        <f t="shared" ref="H5:H14" si="0">IF(AND(F5&lt;=3,G5&lt;=2),"OK","WIP ЗӨРЧСӨН")</f>
        <v>OK</v>
      </c>
    </row>
    <row r="6" spans="1:8">
      <c r="A6" s="7">
        <v>46300</v>
      </c>
      <c r="B6" t="s">
        <v>86</v>
      </c>
      <c r="C6" t="s">
        <v>87</v>
      </c>
      <c r="D6" t="s">
        <v>84</v>
      </c>
      <c r="E6" t="s">
        <v>85</v>
      </c>
      <c r="F6">
        <f>'CFD өгөгдөл'!C6</f>
        <v>2</v>
      </c>
      <c r="G6">
        <f>'CFD өгөгдөл'!D6</f>
        <v>2</v>
      </c>
      <c r="H6" t="str">
        <f t="shared" si="0"/>
        <v>OK</v>
      </c>
    </row>
    <row r="7" spans="1:8">
      <c r="A7" s="7">
        <v>46301</v>
      </c>
      <c r="B7" t="s">
        <v>88</v>
      </c>
      <c r="C7" t="s">
        <v>89</v>
      </c>
      <c r="D7" t="s">
        <v>90</v>
      </c>
      <c r="E7" t="s">
        <v>51</v>
      </c>
      <c r="F7">
        <f>'CFD өгөгдөл'!C7</f>
        <v>2</v>
      </c>
      <c r="G7">
        <f>'CFD өгөгдөл'!D7</f>
        <v>2</v>
      </c>
      <c r="H7" t="str">
        <f t="shared" si="0"/>
        <v>OK</v>
      </c>
    </row>
    <row r="8" spans="1:8">
      <c r="A8" s="7">
        <v>46302</v>
      </c>
      <c r="B8" t="s">
        <v>91</v>
      </c>
      <c r="C8" t="s">
        <v>92</v>
      </c>
      <c r="D8" t="s">
        <v>56</v>
      </c>
      <c r="E8" t="s">
        <v>93</v>
      </c>
      <c r="F8">
        <f>'CFD өгөгдөл'!C8</f>
        <v>2</v>
      </c>
      <c r="G8">
        <f>'CFD өгөгдөл'!D8</f>
        <v>1</v>
      </c>
      <c r="H8" t="str">
        <f t="shared" si="0"/>
        <v>OK</v>
      </c>
    </row>
    <row r="9" spans="1:8">
      <c r="A9" s="7">
        <v>46303</v>
      </c>
      <c r="B9" t="s">
        <v>94</v>
      </c>
      <c r="C9" t="s">
        <v>95</v>
      </c>
      <c r="D9" t="s">
        <v>58</v>
      </c>
      <c r="E9" t="s">
        <v>96</v>
      </c>
      <c r="F9">
        <f>'CFD өгөгдөл'!C9</f>
        <v>2</v>
      </c>
      <c r="G9">
        <f>'CFD өгөгдөл'!D9</f>
        <v>1</v>
      </c>
      <c r="H9" t="str">
        <f t="shared" si="0"/>
        <v>OK</v>
      </c>
    </row>
    <row r="10" spans="1:8">
      <c r="A10" s="7">
        <v>46304</v>
      </c>
      <c r="B10" t="s">
        <v>64</v>
      </c>
      <c r="C10" t="s">
        <v>97</v>
      </c>
      <c r="D10" t="s">
        <v>60</v>
      </c>
      <c r="E10" t="s">
        <v>98</v>
      </c>
      <c r="F10">
        <f>'CFD өгөгдөл'!C10</f>
        <v>2</v>
      </c>
      <c r="G10">
        <f>'CFD өгөгдөл'!D10</f>
        <v>1</v>
      </c>
      <c r="H10" t="str">
        <f t="shared" si="0"/>
        <v>OK</v>
      </c>
    </row>
    <row r="11" spans="1:8">
      <c r="A11" s="7">
        <v>46307</v>
      </c>
      <c r="B11" t="s">
        <v>85</v>
      </c>
      <c r="C11" t="s">
        <v>99</v>
      </c>
      <c r="D11" t="s">
        <v>69</v>
      </c>
      <c r="E11" t="s">
        <v>100</v>
      </c>
      <c r="F11">
        <f>'CFD өгөгдөл'!C11</f>
        <v>2</v>
      </c>
      <c r="G11">
        <f>'CFD өгөгдөл'!D11</f>
        <v>1</v>
      </c>
      <c r="H11" t="str">
        <f t="shared" si="0"/>
        <v>OK</v>
      </c>
    </row>
    <row r="12" spans="1:8">
      <c r="A12" s="7">
        <v>46308</v>
      </c>
      <c r="B12" t="s">
        <v>85</v>
      </c>
      <c r="C12" t="s">
        <v>64</v>
      </c>
      <c r="D12" t="s">
        <v>62</v>
      </c>
      <c r="E12" t="s">
        <v>101</v>
      </c>
      <c r="F12">
        <f>'CFD өгөгдөл'!C12</f>
        <v>1</v>
      </c>
      <c r="G12">
        <f>'CFD өгөгдөл'!D12</f>
        <v>1</v>
      </c>
      <c r="H12" t="str">
        <f t="shared" si="0"/>
        <v>OK</v>
      </c>
    </row>
    <row r="13" spans="1:8">
      <c r="A13" s="7">
        <v>46309</v>
      </c>
      <c r="B13" t="s">
        <v>85</v>
      </c>
      <c r="C13" t="s">
        <v>85</v>
      </c>
      <c r="D13" t="s">
        <v>99</v>
      </c>
      <c r="E13" t="s">
        <v>101</v>
      </c>
      <c r="F13">
        <f>'CFD өгөгдөл'!C13</f>
        <v>0</v>
      </c>
      <c r="G13">
        <f>'CFD өгөгдөл'!D13</f>
        <v>2</v>
      </c>
      <c r="H13" t="str">
        <f t="shared" si="0"/>
        <v>OK</v>
      </c>
    </row>
    <row r="14" spans="1:8">
      <c r="A14" s="7">
        <v>46310</v>
      </c>
      <c r="B14" t="s">
        <v>85</v>
      </c>
      <c r="C14" t="s">
        <v>85</v>
      </c>
      <c r="D14" t="s">
        <v>85</v>
      </c>
      <c r="E14" t="s">
        <v>102</v>
      </c>
      <c r="F14">
        <f>'CFD өгөгдөл'!C14</f>
        <v>0</v>
      </c>
      <c r="G14">
        <f>'CFD өгөгдөл'!D14</f>
        <v>0</v>
      </c>
      <c r="H14" t="str">
        <f t="shared" si="0"/>
        <v>OK</v>
      </c>
    </row>
    <row r="16" spans="1:8">
      <c r="A16" s="11" t="s">
        <v>103</v>
      </c>
      <c r="B16" s="11"/>
      <c r="C16" s="11"/>
      <c r="D16" s="11"/>
      <c r="E16" s="11"/>
      <c r="F16" s="11"/>
      <c r="G16" s="11"/>
      <c r="H16" s="11"/>
    </row>
  </sheetData>
  <mergeCells count="3">
    <mergeCell ref="A1:H1"/>
    <mergeCell ref="A2:H2"/>
    <mergeCell ref="A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pane ySplit="4" topLeftCell="A5" activePane="bottomLeft" state="frozen"/>
      <selection pane="bottomLeft" sqref="A1:G1"/>
    </sheetView>
  </sheetViews>
  <sheetFormatPr defaultRowHeight="14"/>
  <cols>
    <col min="1" max="1" width="18" customWidth="1"/>
    <col min="2" max="2" width="16" customWidth="1"/>
    <col min="3" max="3" width="20" customWidth="1"/>
    <col min="4" max="5" width="16" customWidth="1"/>
    <col min="6" max="6" width="18" customWidth="1"/>
    <col min="7" max="7" width="21" customWidth="1"/>
  </cols>
  <sheetData>
    <row r="1" spans="1:7" ht="35" customHeight="1">
      <c r="A1" s="9" t="s">
        <v>104</v>
      </c>
      <c r="B1" s="9"/>
      <c r="C1" s="9"/>
      <c r="D1" s="9"/>
      <c r="E1" s="9"/>
      <c r="F1" s="9"/>
      <c r="G1" s="9"/>
    </row>
    <row r="2" spans="1:7" ht="30" customHeight="1">
      <c r="A2" s="10" t="s">
        <v>105</v>
      </c>
      <c r="B2" s="10"/>
      <c r="C2" s="10"/>
      <c r="D2" s="10"/>
      <c r="E2" s="10"/>
      <c r="F2" s="10"/>
      <c r="G2" s="10"/>
    </row>
    <row r="4" spans="1:7" ht="32" customHeight="1">
      <c r="A4" s="1" t="s">
        <v>77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106</v>
      </c>
      <c r="G4" s="1" t="s">
        <v>50</v>
      </c>
    </row>
    <row r="5" spans="1:7">
      <c r="A5" s="8">
        <v>46297</v>
      </c>
      <c r="B5">
        <v>7</v>
      </c>
      <c r="C5">
        <v>2</v>
      </c>
      <c r="D5">
        <v>0</v>
      </c>
      <c r="E5">
        <v>0</v>
      </c>
      <c r="F5">
        <f t="shared" ref="F5:F14" si="0">SUM(B5:E5)</f>
        <v>9</v>
      </c>
      <c r="G5" t="str">
        <f t="shared" ref="G5:G14" si="1">IF(F5=9,"OK","ШАЛГА")</f>
        <v>OK</v>
      </c>
    </row>
    <row r="6" spans="1:7">
      <c r="A6" s="8">
        <v>46300</v>
      </c>
      <c r="B6">
        <v>5</v>
      </c>
      <c r="C6">
        <v>2</v>
      </c>
      <c r="D6">
        <v>2</v>
      </c>
      <c r="E6">
        <v>0</v>
      </c>
      <c r="F6">
        <f t="shared" si="0"/>
        <v>9</v>
      </c>
      <c r="G6" t="str">
        <f t="shared" si="1"/>
        <v>OK</v>
      </c>
    </row>
    <row r="7" spans="1:7">
      <c r="A7" s="8">
        <v>46301</v>
      </c>
      <c r="B7">
        <v>4</v>
      </c>
      <c r="C7">
        <v>2</v>
      </c>
      <c r="D7">
        <v>2</v>
      </c>
      <c r="E7">
        <v>1</v>
      </c>
      <c r="F7">
        <f t="shared" si="0"/>
        <v>9</v>
      </c>
      <c r="G7" t="str">
        <f t="shared" si="1"/>
        <v>OK</v>
      </c>
    </row>
    <row r="8" spans="1:7">
      <c r="A8" s="8">
        <v>46302</v>
      </c>
      <c r="B8">
        <v>3</v>
      </c>
      <c r="C8">
        <v>2</v>
      </c>
      <c r="D8">
        <v>1</v>
      </c>
      <c r="E8">
        <v>3</v>
      </c>
      <c r="F8">
        <f t="shared" si="0"/>
        <v>9</v>
      </c>
      <c r="G8" t="str">
        <f t="shared" si="1"/>
        <v>OK</v>
      </c>
    </row>
    <row r="9" spans="1:7">
      <c r="A9" s="8">
        <v>46303</v>
      </c>
      <c r="B9">
        <v>2</v>
      </c>
      <c r="C9">
        <v>2</v>
      </c>
      <c r="D9">
        <v>1</v>
      </c>
      <c r="E9">
        <v>4</v>
      </c>
      <c r="F9">
        <f t="shared" si="0"/>
        <v>9</v>
      </c>
      <c r="G9" t="str">
        <f t="shared" si="1"/>
        <v>OK</v>
      </c>
    </row>
    <row r="10" spans="1:7">
      <c r="A10" s="8">
        <v>46304</v>
      </c>
      <c r="B10">
        <v>1</v>
      </c>
      <c r="C10">
        <v>2</v>
      </c>
      <c r="D10">
        <v>1</v>
      </c>
      <c r="E10">
        <v>5</v>
      </c>
      <c r="F10">
        <f t="shared" si="0"/>
        <v>9</v>
      </c>
      <c r="G10" t="str">
        <f t="shared" si="1"/>
        <v>OK</v>
      </c>
    </row>
    <row r="11" spans="1:7">
      <c r="A11" s="8">
        <v>46307</v>
      </c>
      <c r="B11">
        <v>0</v>
      </c>
      <c r="C11">
        <v>2</v>
      </c>
      <c r="D11">
        <v>1</v>
      </c>
      <c r="E11">
        <v>6</v>
      </c>
      <c r="F11">
        <f t="shared" si="0"/>
        <v>9</v>
      </c>
      <c r="G11" t="str">
        <f t="shared" si="1"/>
        <v>OK</v>
      </c>
    </row>
    <row r="12" spans="1:7">
      <c r="A12" s="8">
        <v>46308</v>
      </c>
      <c r="B12">
        <v>0</v>
      </c>
      <c r="C12">
        <v>1</v>
      </c>
      <c r="D12">
        <v>1</v>
      </c>
      <c r="E12">
        <v>7</v>
      </c>
      <c r="F12">
        <f t="shared" si="0"/>
        <v>9</v>
      </c>
      <c r="G12" t="str">
        <f t="shared" si="1"/>
        <v>OK</v>
      </c>
    </row>
    <row r="13" spans="1:7">
      <c r="A13" s="8">
        <v>46309</v>
      </c>
      <c r="B13">
        <v>0</v>
      </c>
      <c r="C13">
        <v>0</v>
      </c>
      <c r="D13">
        <v>2</v>
      </c>
      <c r="E13">
        <v>7</v>
      </c>
      <c r="F13">
        <f t="shared" si="0"/>
        <v>9</v>
      </c>
      <c r="G13" t="str">
        <f t="shared" si="1"/>
        <v>OK</v>
      </c>
    </row>
    <row r="14" spans="1:7">
      <c r="A14" s="8">
        <v>46310</v>
      </c>
      <c r="B14">
        <v>0</v>
      </c>
      <c r="C14">
        <v>0</v>
      </c>
      <c r="D14">
        <v>0</v>
      </c>
      <c r="E14">
        <v>9</v>
      </c>
      <c r="F14">
        <f t="shared" si="0"/>
        <v>9</v>
      </c>
      <c r="G14" t="str">
        <f t="shared" si="1"/>
        <v>OK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pane ySplit="4" topLeftCell="A10" activePane="bottomLeft" state="frozen"/>
      <selection pane="bottomLeft" activeCell="B9" sqref="B9"/>
    </sheetView>
  </sheetViews>
  <sheetFormatPr defaultRowHeight="14"/>
  <cols>
    <col min="1" max="1" width="33" customWidth="1"/>
    <col min="2" max="2" width="115" customWidth="1"/>
  </cols>
  <sheetData>
    <row r="1" spans="1:2" ht="35" customHeight="1">
      <c r="A1" s="9" t="s">
        <v>107</v>
      </c>
      <c r="B1" s="9"/>
    </row>
    <row r="2" spans="1:2" ht="30" customHeight="1">
      <c r="A2" s="10" t="s">
        <v>108</v>
      </c>
      <c r="B2" s="10"/>
    </row>
    <row r="4" spans="1:2" ht="32" customHeight="1">
      <c r="A4" s="1" t="s">
        <v>109</v>
      </c>
      <c r="B4" s="1" t="s">
        <v>110</v>
      </c>
    </row>
    <row r="5" spans="1:2" ht="52" customHeight="1">
      <c r="A5" s="2" t="s">
        <v>111</v>
      </c>
      <c r="B5" s="3" t="s">
        <v>112</v>
      </c>
    </row>
    <row r="6" spans="1:2" ht="52" customHeight="1">
      <c r="A6" s="2" t="s">
        <v>113</v>
      </c>
      <c r="B6" s="3" t="s">
        <v>114</v>
      </c>
    </row>
    <row r="7" spans="1:2" ht="52" customHeight="1">
      <c r="A7" s="2" t="s">
        <v>115</v>
      </c>
      <c r="B7" s="3" t="s">
        <v>116</v>
      </c>
    </row>
    <row r="8" spans="1:2" ht="52" customHeight="1">
      <c r="A8" s="2" t="s">
        <v>117</v>
      </c>
      <c r="B8" s="3" t="s">
        <v>128</v>
      </c>
    </row>
    <row r="9" spans="1:2" ht="52" customHeight="1">
      <c r="A9" s="2" t="s">
        <v>118</v>
      </c>
      <c r="B9" s="3" t="s">
        <v>119</v>
      </c>
    </row>
    <row r="10" spans="1:2" ht="52" customHeight="1">
      <c r="A10" s="2" t="s">
        <v>120</v>
      </c>
      <c r="B10" s="3" t="s">
        <v>121</v>
      </c>
    </row>
    <row r="11" spans="1:2" ht="52" customHeight="1">
      <c r="A11" s="2" t="s">
        <v>122</v>
      </c>
      <c r="B11" s="3" t="s">
        <v>123</v>
      </c>
    </row>
    <row r="12" spans="1:2" ht="52" customHeight="1">
      <c r="A12" s="2" t="s">
        <v>124</v>
      </c>
      <c r="B12" s="3" t="s">
        <v>125</v>
      </c>
    </row>
    <row r="14" spans="1:2">
      <c r="A14" t="s">
        <v>115</v>
      </c>
      <c r="B14">
        <f>'Карт ба хугацаа'!I15</f>
        <v>2.8888888888888888</v>
      </c>
    </row>
    <row r="15" spans="1:2">
      <c r="A15" t="s">
        <v>126</v>
      </c>
      <c r="B15">
        <f>'Карт ба хугацаа'!J15</f>
        <v>5.333333333333333</v>
      </c>
    </row>
    <row r="16" spans="1:2">
      <c r="A16" t="s">
        <v>73</v>
      </c>
      <c r="B16" t="str">
        <f>'Карт ба хугацаа'!B16</f>
        <v>US-07</v>
      </c>
    </row>
    <row r="17" spans="1:2">
      <c r="A17" t="s">
        <v>127</v>
      </c>
      <c r="B17">
        <f>'Карт ба хугацаа'!I16</f>
        <v>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Танилцуулга</vt:lpstr>
      <vt:lpstr>Карт ба хугацаа</vt:lpstr>
      <vt:lpstr>Kanban Board</vt:lpstr>
      <vt:lpstr>CFD өгөгдөл</vt:lpstr>
      <vt:lpstr>Дүгнэлт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shiirevninj</cp:lastModifiedBy>
  <dcterms:modified xsi:type="dcterms:W3CDTF">2026-10-13T08:27:37Z</dcterms:modified>
</cp:coreProperties>
</file>